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3040" windowHeight="8555"/>
  </bookViews>
  <sheets>
    <sheet name="Total Order" sheetId="2" r:id="rId1"/>
    <sheet name="94344" sheetId="3" r:id="rId2"/>
  </sheets>
  <definedNames>
    <definedName name="_xlnm._FilterDatabase" localSheetId="0" hidden="1">'Total Order'!$A$1:$Y$18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<sst xmlns="http://schemas.openxmlformats.org/spreadsheetml/2006/main" count="186" uniqueCount="62">
  <si>
    <t>PO</t>
  </si>
  <si>
    <t>order_date</t>
  </si>
  <si>
    <t>ETD</t>
  </si>
  <si>
    <t>Today</t>
  </si>
  <si>
    <t>Delay</t>
  </si>
  <si>
    <t>vendor</t>
  </si>
  <si>
    <t>item_code</t>
  </si>
  <si>
    <t>description</t>
  </si>
  <si>
    <t>quantity</t>
  </si>
  <si>
    <t>Inline Date (P)</t>
  </si>
  <si>
    <t>Midline Date (P)</t>
  </si>
  <si>
    <t>Final Date (P)</t>
  </si>
  <si>
    <t>Inline date</t>
  </si>
  <si>
    <t>Midline Date</t>
  </si>
  <si>
    <t>QC Date</t>
  </si>
  <si>
    <t>Inspector</t>
  </si>
  <si>
    <t>Pass</t>
  </si>
  <si>
    <t>Rejected</t>
  </si>
  <si>
    <t>Balance</t>
  </si>
  <si>
    <t>QC Report Date</t>
  </si>
  <si>
    <t>Order Loaded</t>
  </si>
  <si>
    <t>94344</t>
  </si>
  <si>
    <t>Lumi Art Manufacturer &amp; Exporter</t>
  </si>
  <si>
    <t>8824368</t>
  </si>
  <si>
    <t>Staande Spiegel Bowie 160cm - Giga Meubel</t>
  </si>
  <si>
    <t>8824369</t>
  </si>
  <si>
    <t>Staande Spiegel Bowie 180cm - Giga Meubel</t>
  </si>
  <si>
    <t>8824437</t>
  </si>
  <si>
    <t>Staande Spiegel Esther Naturel 180cm - Giga Meubel</t>
  </si>
  <si>
    <t>8824461</t>
  </si>
  <si>
    <t>Staande Spiegel Bowie 200cm - Giga Meubel</t>
  </si>
  <si>
    <t>8824484</t>
  </si>
  <si>
    <t>Nachtkastje Berend Naturel - Giga Meubel</t>
  </si>
  <si>
    <t>8824485</t>
  </si>
  <si>
    <t>Nachtkastje Berend Zwart - Giga Meubel</t>
  </si>
  <si>
    <t>8824494</t>
  </si>
  <si>
    <t>Vloerlamp Savio Zwart 155cm - Giga Meubel</t>
  </si>
  <si>
    <t>8824495</t>
  </si>
  <si>
    <t>Tafellamp Savio Zwart 80cm - Giga Meubel</t>
  </si>
  <si>
    <t>8824500</t>
  </si>
  <si>
    <t>Vloerlamp Micky Naturel 165cm - Giga Meubel</t>
  </si>
  <si>
    <t>8824501</t>
  </si>
  <si>
    <t>Vloerlamp Micky Naturel 125cm - Giga Meubel</t>
  </si>
  <si>
    <t>8824503</t>
  </si>
  <si>
    <t>Tafellamp Micky Naturel 60cm - Giga Meubel</t>
  </si>
  <si>
    <t>8824906</t>
  </si>
  <si>
    <t>Salontafel Wessel Travertin Bruin - Giga Meubel</t>
  </si>
  <si>
    <t>8824907</t>
  </si>
  <si>
    <t>Salontafel Femke Donkerbruin 120cm - Giga Meubel</t>
  </si>
  <si>
    <t>8825029</t>
  </si>
  <si>
    <t>Staande Spiegel Esther Donkerbruin 180cm - Giga Meubel</t>
  </si>
  <si>
    <t>8825187</t>
  </si>
  <si>
    <t>Nachtkastje Zwevend Boris Donkerbruin - Giga Meubel</t>
  </si>
  <si>
    <t>8824901</t>
  </si>
  <si>
    <t>Salontafel Sven Travertin Naturel 120cm - Giga Meubel</t>
  </si>
  <si>
    <t>8824902</t>
  </si>
  <si>
    <t>Salontafel Sven Travertin Bruin 120cm - Giga Meubel</t>
  </si>
  <si>
    <t>Datum geplaatst</t>
  </si>
  <si>
    <t>Leverancier</t>
  </si>
  <si>
    <t>Artikelnr.</t>
  </si>
  <si>
    <t>Omschrijving</t>
  </si>
  <si>
    <t>Aantal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</si>
</sst>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d/mm/yyyy"/>
  </numFmts>
  <fonts count="26">
    <font>
      <sz val="11"/>
      <color theme="1"/>
      <name val="Calibri"/>
      <charset val="134"/>
      <scheme val="minor"/>
    </font>
    <font>
      <b/>
      <sz val="11"/>
      <name val="Aptos Narrow"/>
      <charset val="134"/>
    </font>
    <font>
      <b/>
      <sz val="10"/>
      <name val="Aptos"/>
      <charset val="134"/>
    </font>
    <font>
      <sz val="10"/>
      <color rgb="FF000000"/>
      <name val="Aptos"/>
      <charset val="134"/>
    </font>
    <font>
      <b/>
      <sz val="10"/>
      <color rgb="FF000000"/>
      <name val="Aptos"/>
      <charset val="134"/>
    </font>
    <font>
      <sz val="10"/>
      <name val="Aptos"/>
      <charset val="134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177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6" borderId="2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7" borderId="5" applyNumberFormat="0" applyAlignment="0" applyProtection="0">
      <alignment vertical="center"/>
    </xf>
    <xf numFmtId="0" fontId="16" fillId="8" borderId="6" applyNumberFormat="0" applyAlignment="0" applyProtection="0">
      <alignment vertical="center"/>
    </xf>
    <xf numFmtId="0" fontId="17" fillId="8" borderId="5" applyNumberFormat="0" applyAlignment="0" applyProtection="0">
      <alignment vertical="center"/>
    </xf>
    <xf numFmtId="0" fontId="18" fillId="9" borderId="7" applyNumberFormat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8" fontId="0" fillId="3" borderId="1" xfId="0" applyNumberFormat="1" applyFill="1" applyBorder="1" applyAlignment="1">
      <alignment horizontal="center" vertical="center"/>
    </xf>
    <xf numFmtId="58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5" borderId="1" xfId="0" applyNumberFormat="1" applyFill="1" applyBorder="1" applyAlignment="1">
      <alignment horizontal="center" vertical="center"/>
    </xf>
    <xf numFmtId="58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Y18"/>
  <sheetViews>
    <sheetView tabSelected="1" workbookViewId="0">
      <selection activeCell="K6" sqref="K6"/>
    </sheetView>
  </sheetViews>
  <sheetFormatPr defaultColWidth="9" defaultRowHeight="14.4"/>
  <cols>
    <col min="1" max="1" width="6" customWidth="1"/>
    <col min="2" max="2" width="15.8518518518519" customWidth="1"/>
    <col min="3" max="3" width="9.42592592592593" customWidth="1"/>
    <col min="4" max="4" width="10.1388888888889" customWidth="1"/>
    <col min="5" max="5" width="5.71296296296296" customWidth="1"/>
    <col min="6" max="6" width="31.4259259259259" customWidth="1"/>
    <col min="7" max="7" width="9.28703703703704" customWidth="1"/>
    <col min="8" max="8" width="52.8518518518519" customWidth="1"/>
    <col min="9" max="9" width="6.57407407407407" customWidth="1"/>
    <col min="10" max="12" width="10.1388888888889" customWidth="1"/>
    <col min="13" max="13" width="5.85185185185185" customWidth="1"/>
    <col min="14" max="14" width="7.28703703703704" customWidth="1"/>
    <col min="15" max="15" width="8.13888888888889" customWidth="1"/>
    <col min="16" max="16" width="9.28703703703704" customWidth="1"/>
    <col min="17" max="17" width="5.13888888888889" customWidth="1"/>
    <col min="18" max="18" width="8.42592592592593" customWidth="1"/>
    <col min="19" max="19" width="8.13888888888889" customWidth="1"/>
    <col min="20" max="20" width="9.28703703703704" customWidth="1"/>
    <col min="21" max="21" width="5.13888888888889" customWidth="1"/>
    <col min="22" max="22" width="8.42592592592593" customWidth="1"/>
    <col min="23" max="23" width="7.85185185185185" customWidth="1"/>
    <col min="24" max="24" width="14.4259259259259" customWidth="1"/>
    <col min="25" max="25" width="12.712962962963" customWidth="1"/>
  </cols>
  <sheetData>
    <row r="1" ht="36" spans="1:25">
      <c r="A1" s="1" t="s">
        <v>0</v>
      </c>
      <c r="B1" s="2" t="s">
        <v>1</v>
      </c>
      <c r="C1" s="3" t="s">
        <v>2</v>
      </c>
      <c r="D1" s="4" t="s">
        <v>3</v>
      </c>
      <c r="E1" s="4" t="s">
        <v>4</v>
      </c>
      <c r="F1" s="5" t="s">
        <v>5</v>
      </c>
      <c r="G1" s="2" t="s">
        <v>6</v>
      </c>
      <c r="H1" s="2" t="s">
        <v>7</v>
      </c>
      <c r="I1" s="13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14" t="s">
        <v>14</v>
      </c>
      <c r="P1" s="14" t="s">
        <v>15</v>
      </c>
      <c r="Q1" s="14" t="s">
        <v>16</v>
      </c>
      <c r="R1" s="14" t="s">
        <v>17</v>
      </c>
      <c r="S1" s="14" t="s">
        <v>14</v>
      </c>
      <c r="T1" s="14" t="s">
        <v>15</v>
      </c>
      <c r="U1" s="14" t="s">
        <v>16</v>
      </c>
      <c r="V1" s="14" t="s">
        <v>17</v>
      </c>
      <c r="W1" s="14" t="s">
        <v>18</v>
      </c>
      <c r="X1" s="14" t="s">
        <v>19</v>
      </c>
      <c r="Y1" s="14" t="s">
        <v>20</v>
      </c>
    </row>
    <row r="2" spans="1:23">
      <c r="A2" s="6" t="s">
        <v>21</v>
      </c>
      <c r="B2" s="7">
        <v>46030</v>
      </c>
      <c r="C2" s="8">
        <v>46120</v>
      </c>
      <c r="D2" s="9">
        <f ca="1">+TODAY()</f>
        <v>46050</v>
      </c>
      <c r="E2" s="10">
        <f ca="1">+C2-D2</f>
        <v>70</v>
      </c>
      <c r="F2" s="11" t="s">
        <v>22</v>
      </c>
      <c r="G2" s="12" t="s">
        <v>23</v>
      </c>
      <c r="H2" s="12" t="s">
        <v>24</v>
      </c>
      <c r="I2" s="15">
        <v>20</v>
      </c>
      <c r="J2" s="16">
        <f>+C2-25</f>
        <v>46095</v>
      </c>
      <c r="K2" s="16">
        <f>+C2-15</f>
        <v>46105</v>
      </c>
      <c r="L2" s="16">
        <f>+C2-7</f>
        <v>46113</v>
      </c>
      <c r="M2" s="17"/>
      <c r="N2" s="17"/>
      <c r="O2" s="17"/>
      <c r="S2" s="17"/>
      <c r="W2">
        <f>+I2-Q2-R2-U2-V2</f>
        <v>20</v>
      </c>
    </row>
    <row r="3" spans="1:23">
      <c r="A3" s="6" t="s">
        <v>21</v>
      </c>
      <c r="B3" s="7">
        <v>46030</v>
      </c>
      <c r="C3" s="8">
        <v>46120</v>
      </c>
      <c r="D3" s="9">
        <f ca="1" t="shared" ref="D3:D18" si="0">+TODAY()</f>
        <v>46050</v>
      </c>
      <c r="E3" s="10">
        <f ca="1" t="shared" ref="E3:E18" si="1">+C3-D3</f>
        <v>70</v>
      </c>
      <c r="F3" s="11" t="s">
        <v>22</v>
      </c>
      <c r="G3" s="12" t="s">
        <v>25</v>
      </c>
      <c r="H3" s="12" t="s">
        <v>26</v>
      </c>
      <c r="I3" s="15">
        <v>20</v>
      </c>
      <c r="J3" s="16">
        <f t="shared" ref="J3:J13" si="2">+C3-25</f>
        <v>46095</v>
      </c>
      <c r="K3" s="16">
        <f t="shared" ref="K3:K13" si="3">+C3-15</f>
        <v>46105</v>
      </c>
      <c r="L3" s="16">
        <f t="shared" ref="L3:L13" si="4">+C3-7</f>
        <v>46113</v>
      </c>
      <c r="M3" s="17"/>
      <c r="N3" s="17"/>
      <c r="O3" s="17"/>
      <c r="S3" s="17"/>
      <c r="W3">
        <f t="shared" ref="W3:W18" si="5">+I3-Q3-R3-U3-V3</f>
        <v>20</v>
      </c>
    </row>
    <row r="4" spans="1:23">
      <c r="A4" s="6" t="s">
        <v>21</v>
      </c>
      <c r="B4" s="7">
        <v>46030</v>
      </c>
      <c r="C4" s="8">
        <v>46120</v>
      </c>
      <c r="D4" s="9">
        <f ca="1" t="shared" si="0"/>
        <v>46050</v>
      </c>
      <c r="E4" s="10">
        <f ca="1" t="shared" si="1"/>
        <v>70</v>
      </c>
      <c r="F4" s="11" t="s">
        <v>22</v>
      </c>
      <c r="G4" s="12" t="s">
        <v>27</v>
      </c>
      <c r="H4" s="12" t="s">
        <v>28</v>
      </c>
      <c r="I4" s="15">
        <v>20</v>
      </c>
      <c r="J4" s="16">
        <f t="shared" si="2"/>
        <v>46095</v>
      </c>
      <c r="K4" s="16">
        <f t="shared" si="3"/>
        <v>46105</v>
      </c>
      <c r="L4" s="16">
        <f t="shared" si="4"/>
        <v>46113</v>
      </c>
      <c r="M4" s="17"/>
      <c r="N4" s="17"/>
      <c r="O4" s="17"/>
      <c r="S4" s="17"/>
      <c r="W4">
        <f t="shared" si="5"/>
        <v>20</v>
      </c>
    </row>
    <row r="5" spans="1:23">
      <c r="A5" s="6" t="s">
        <v>21</v>
      </c>
      <c r="B5" s="7">
        <v>46030</v>
      </c>
      <c r="C5" s="8">
        <v>46120</v>
      </c>
      <c r="D5" s="9">
        <f ca="1" t="shared" si="0"/>
        <v>46050</v>
      </c>
      <c r="E5" s="10">
        <f ca="1" t="shared" si="1"/>
        <v>70</v>
      </c>
      <c r="F5" s="11" t="s">
        <v>22</v>
      </c>
      <c r="G5" s="12" t="s">
        <v>29</v>
      </c>
      <c r="H5" s="12" t="s">
        <v>30</v>
      </c>
      <c r="I5" s="15">
        <v>20</v>
      </c>
      <c r="J5" s="16">
        <f t="shared" si="2"/>
        <v>46095</v>
      </c>
      <c r="K5" s="16">
        <f t="shared" si="3"/>
        <v>46105</v>
      </c>
      <c r="L5" s="16">
        <f t="shared" si="4"/>
        <v>46113</v>
      </c>
      <c r="M5" s="17"/>
      <c r="N5" s="17"/>
      <c r="O5" s="17"/>
      <c r="S5" s="17"/>
      <c r="W5">
        <f t="shared" si="5"/>
        <v>20</v>
      </c>
    </row>
    <row r="6" spans="1:23">
      <c r="A6" s="6" t="s">
        <v>21</v>
      </c>
      <c r="B6" s="7">
        <v>46030</v>
      </c>
      <c r="C6" s="8">
        <v>46120</v>
      </c>
      <c r="D6" s="9">
        <f ca="1" t="shared" si="0"/>
        <v>46050</v>
      </c>
      <c r="E6" s="10">
        <f ca="1" t="shared" si="1"/>
        <v>70</v>
      </c>
      <c r="F6" s="11" t="s">
        <v>22</v>
      </c>
      <c r="G6" s="12" t="s">
        <v>31</v>
      </c>
      <c r="H6" s="12" t="s">
        <v>32</v>
      </c>
      <c r="I6" s="15">
        <v>25</v>
      </c>
      <c r="J6" s="16">
        <f t="shared" si="2"/>
        <v>46095</v>
      </c>
      <c r="K6" s="16">
        <f t="shared" si="3"/>
        <v>46105</v>
      </c>
      <c r="L6" s="16">
        <f t="shared" si="4"/>
        <v>46113</v>
      </c>
      <c r="M6" s="17"/>
      <c r="N6" s="17"/>
      <c r="O6" s="17"/>
      <c r="S6" s="17"/>
      <c r="W6">
        <f t="shared" si="5"/>
        <v>25</v>
      </c>
    </row>
    <row r="7" spans="1:23">
      <c r="A7" s="6" t="s">
        <v>21</v>
      </c>
      <c r="B7" s="7">
        <v>46030</v>
      </c>
      <c r="C7" s="8">
        <v>46120</v>
      </c>
      <c r="D7" s="9">
        <f ca="1" t="shared" si="0"/>
        <v>46050</v>
      </c>
      <c r="E7" s="10">
        <f ca="1" t="shared" si="1"/>
        <v>70</v>
      </c>
      <c r="F7" s="11" t="s">
        <v>22</v>
      </c>
      <c r="G7" s="12" t="s">
        <v>33</v>
      </c>
      <c r="H7" s="12" t="s">
        <v>34</v>
      </c>
      <c r="I7" s="15">
        <v>20</v>
      </c>
      <c r="J7" s="16">
        <f t="shared" si="2"/>
        <v>46095</v>
      </c>
      <c r="K7" s="16">
        <f t="shared" si="3"/>
        <v>46105</v>
      </c>
      <c r="L7" s="16">
        <f t="shared" si="4"/>
        <v>46113</v>
      </c>
      <c r="M7" s="17"/>
      <c r="N7" s="17"/>
      <c r="O7" s="17"/>
      <c r="S7" s="17"/>
      <c r="W7">
        <f t="shared" si="5"/>
        <v>20</v>
      </c>
    </row>
    <row r="8" spans="1:23">
      <c r="A8" s="6" t="s">
        <v>21</v>
      </c>
      <c r="B8" s="7">
        <v>46030</v>
      </c>
      <c r="C8" s="8">
        <v>46120</v>
      </c>
      <c r="D8" s="9">
        <f ca="1" t="shared" si="0"/>
        <v>46050</v>
      </c>
      <c r="E8" s="10">
        <f ca="1" t="shared" si="1"/>
        <v>70</v>
      </c>
      <c r="F8" s="11" t="s">
        <v>22</v>
      </c>
      <c r="G8" s="12" t="s">
        <v>35</v>
      </c>
      <c r="H8" s="12" t="s">
        <v>36</v>
      </c>
      <c r="I8" s="15">
        <v>10</v>
      </c>
      <c r="J8" s="16">
        <f t="shared" si="2"/>
        <v>46095</v>
      </c>
      <c r="K8" s="16">
        <f t="shared" si="3"/>
        <v>46105</v>
      </c>
      <c r="L8" s="16">
        <f t="shared" si="4"/>
        <v>46113</v>
      </c>
      <c r="M8" s="17"/>
      <c r="N8" s="17"/>
      <c r="O8" s="17"/>
      <c r="S8" s="17"/>
      <c r="W8">
        <f t="shared" si="5"/>
        <v>10</v>
      </c>
    </row>
    <row r="9" spans="1:23">
      <c r="A9" s="6" t="s">
        <v>21</v>
      </c>
      <c r="B9" s="7">
        <v>46030</v>
      </c>
      <c r="C9" s="8">
        <v>46120</v>
      </c>
      <c r="D9" s="9">
        <f ca="1" t="shared" si="0"/>
        <v>46050</v>
      </c>
      <c r="E9" s="10">
        <f ca="1" t="shared" si="1"/>
        <v>70</v>
      </c>
      <c r="F9" s="11" t="s">
        <v>22</v>
      </c>
      <c r="G9" s="12" t="s">
        <v>37</v>
      </c>
      <c r="H9" s="12" t="s">
        <v>38</v>
      </c>
      <c r="I9" s="15">
        <v>15</v>
      </c>
      <c r="J9" s="16">
        <f t="shared" si="2"/>
        <v>46095</v>
      </c>
      <c r="K9" s="16">
        <f t="shared" si="3"/>
        <v>46105</v>
      </c>
      <c r="L9" s="16">
        <f t="shared" si="4"/>
        <v>46113</v>
      </c>
      <c r="M9" s="17"/>
      <c r="N9" s="17"/>
      <c r="O9" s="17"/>
      <c r="S9" s="17"/>
      <c r="W9">
        <f t="shared" si="5"/>
        <v>15</v>
      </c>
    </row>
    <row r="10" spans="1:23">
      <c r="A10" s="6" t="s">
        <v>21</v>
      </c>
      <c r="B10" s="7">
        <v>46030</v>
      </c>
      <c r="C10" s="8">
        <v>46120</v>
      </c>
      <c r="D10" s="9">
        <f ca="1" t="shared" si="0"/>
        <v>46050</v>
      </c>
      <c r="E10" s="10">
        <f ca="1" t="shared" si="1"/>
        <v>70</v>
      </c>
      <c r="F10" s="11" t="s">
        <v>22</v>
      </c>
      <c r="G10" s="12" t="s">
        <v>39</v>
      </c>
      <c r="H10" s="12" t="s">
        <v>40</v>
      </c>
      <c r="I10" s="15">
        <v>15</v>
      </c>
      <c r="J10" s="16">
        <f t="shared" si="2"/>
        <v>46095</v>
      </c>
      <c r="K10" s="16">
        <f t="shared" si="3"/>
        <v>46105</v>
      </c>
      <c r="L10" s="16">
        <f t="shared" si="4"/>
        <v>46113</v>
      </c>
      <c r="M10" s="17"/>
      <c r="N10" s="17"/>
      <c r="O10" s="17"/>
      <c r="S10" s="17"/>
      <c r="W10">
        <f t="shared" si="5"/>
        <v>15</v>
      </c>
    </row>
    <row r="11" spans="1:23">
      <c r="A11" s="6" t="s">
        <v>21</v>
      </c>
      <c r="B11" s="7">
        <v>46030</v>
      </c>
      <c r="C11" s="8">
        <v>46120</v>
      </c>
      <c r="D11" s="9">
        <f ca="1" t="shared" si="0"/>
        <v>46050</v>
      </c>
      <c r="E11" s="10">
        <f ca="1" t="shared" si="1"/>
        <v>70</v>
      </c>
      <c r="F11" s="11" t="s">
        <v>22</v>
      </c>
      <c r="G11" s="12" t="s">
        <v>41</v>
      </c>
      <c r="H11" s="12" t="s">
        <v>42</v>
      </c>
      <c r="I11" s="15">
        <v>25</v>
      </c>
      <c r="J11" s="16">
        <f t="shared" si="2"/>
        <v>46095</v>
      </c>
      <c r="K11" s="16">
        <f t="shared" si="3"/>
        <v>46105</v>
      </c>
      <c r="L11" s="16">
        <f t="shared" si="4"/>
        <v>46113</v>
      </c>
      <c r="M11" s="17"/>
      <c r="N11" s="17"/>
      <c r="O11" s="17"/>
      <c r="S11" s="17"/>
      <c r="W11">
        <f t="shared" si="5"/>
        <v>25</v>
      </c>
    </row>
    <row r="12" spans="1:23">
      <c r="A12" s="6" t="s">
        <v>21</v>
      </c>
      <c r="B12" s="7">
        <v>46030</v>
      </c>
      <c r="C12" s="8">
        <v>46120</v>
      </c>
      <c r="D12" s="9">
        <f ca="1" t="shared" si="0"/>
        <v>46050</v>
      </c>
      <c r="E12" s="10">
        <f ca="1" t="shared" si="1"/>
        <v>70</v>
      </c>
      <c r="F12" s="11" t="s">
        <v>22</v>
      </c>
      <c r="G12" s="12" t="s">
        <v>43</v>
      </c>
      <c r="H12" s="12" t="s">
        <v>44</v>
      </c>
      <c r="I12" s="15">
        <v>15</v>
      </c>
      <c r="J12" s="16">
        <f t="shared" si="2"/>
        <v>46095</v>
      </c>
      <c r="K12" s="16">
        <f t="shared" si="3"/>
        <v>46105</v>
      </c>
      <c r="L12" s="16">
        <f t="shared" si="4"/>
        <v>46113</v>
      </c>
      <c r="M12" s="17"/>
      <c r="N12" s="17"/>
      <c r="O12" s="17"/>
      <c r="S12" s="17"/>
      <c r="W12">
        <f t="shared" si="5"/>
        <v>15</v>
      </c>
    </row>
    <row r="13" spans="1:23">
      <c r="A13" s="6" t="s">
        <v>21</v>
      </c>
      <c r="B13" s="7">
        <v>46030</v>
      </c>
      <c r="C13" s="8">
        <v>46120</v>
      </c>
      <c r="D13" s="9">
        <f ca="1" t="shared" si="0"/>
        <v>46050</v>
      </c>
      <c r="E13" s="10">
        <f ca="1" t="shared" si="1"/>
        <v>70</v>
      </c>
      <c r="F13" s="11" t="s">
        <v>22</v>
      </c>
      <c r="G13" s="12" t="s">
        <v>45</v>
      </c>
      <c r="H13" s="12" t="s">
        <v>46</v>
      </c>
      <c r="I13" s="15">
        <v>20</v>
      </c>
      <c r="J13" s="16">
        <f t="shared" si="2"/>
        <v>46095</v>
      </c>
      <c r="K13" s="16">
        <f t="shared" si="3"/>
        <v>46105</v>
      </c>
      <c r="L13" s="16">
        <f t="shared" si="4"/>
        <v>46113</v>
      </c>
      <c r="M13" s="17"/>
      <c r="N13" s="17"/>
      <c r="O13" s="17"/>
      <c r="S13" s="17"/>
      <c r="W13">
        <f t="shared" si="5"/>
        <v>20</v>
      </c>
    </row>
    <row r="14" spans="1:23">
      <c r="A14" s="6" t="s">
        <v>21</v>
      </c>
      <c r="B14" s="7">
        <v>46030</v>
      </c>
      <c r="C14" s="8">
        <v>46120</v>
      </c>
      <c r="D14" s="9">
        <f ca="1" t="shared" si="0"/>
        <v>46050</v>
      </c>
      <c r="E14" s="10">
        <f ca="1" t="shared" si="1"/>
        <v>70</v>
      </c>
      <c r="F14" s="11" t="s">
        <v>22</v>
      </c>
      <c r="G14" s="12" t="s">
        <v>47</v>
      </c>
      <c r="H14" s="12" t="s">
        <v>48</v>
      </c>
      <c r="I14" s="15">
        <v>15</v>
      </c>
      <c r="J14" s="16">
        <f t="shared" ref="J14:J18" si="6">+C14-25</f>
        <v>46095</v>
      </c>
      <c r="K14" s="16">
        <f t="shared" ref="K14:K18" si="7">+C14-15</f>
        <v>46105</v>
      </c>
      <c r="L14" s="16">
        <f t="shared" ref="L14:L18" si="8">+C14-7</f>
        <v>46113</v>
      </c>
      <c r="W14">
        <f t="shared" si="5"/>
        <v>15</v>
      </c>
    </row>
    <row r="15" spans="1:23">
      <c r="A15" s="6" t="s">
        <v>21</v>
      </c>
      <c r="B15" s="7">
        <v>46030</v>
      </c>
      <c r="C15" s="8">
        <v>46120</v>
      </c>
      <c r="D15" s="9">
        <f ca="1" t="shared" si="0"/>
        <v>46050</v>
      </c>
      <c r="E15" s="10">
        <f ca="1" t="shared" si="1"/>
        <v>70</v>
      </c>
      <c r="F15" s="11" t="s">
        <v>22</v>
      </c>
      <c r="G15" s="12" t="s">
        <v>49</v>
      </c>
      <c r="H15" s="12" t="s">
        <v>50</v>
      </c>
      <c r="I15" s="15">
        <v>35</v>
      </c>
      <c r="J15" s="16">
        <f t="shared" si="6"/>
        <v>46095</v>
      </c>
      <c r="K15" s="16">
        <f t="shared" si="7"/>
        <v>46105</v>
      </c>
      <c r="L15" s="16">
        <f t="shared" si="8"/>
        <v>46113</v>
      </c>
      <c r="W15">
        <f t="shared" si="5"/>
        <v>35</v>
      </c>
    </row>
    <row r="16" spans="1:23">
      <c r="A16" s="6" t="s">
        <v>21</v>
      </c>
      <c r="B16" s="7">
        <v>46030</v>
      </c>
      <c r="C16" s="8">
        <v>46120</v>
      </c>
      <c r="D16" s="9">
        <f ca="1" t="shared" si="0"/>
        <v>46050</v>
      </c>
      <c r="E16" s="10">
        <f ca="1" t="shared" si="1"/>
        <v>70</v>
      </c>
      <c r="F16" s="11" t="s">
        <v>22</v>
      </c>
      <c r="G16" s="12" t="s">
        <v>51</v>
      </c>
      <c r="H16" s="12" t="s">
        <v>52</v>
      </c>
      <c r="I16" s="15">
        <v>40</v>
      </c>
      <c r="J16" s="16">
        <f t="shared" si="6"/>
        <v>46095</v>
      </c>
      <c r="K16" s="16">
        <f t="shared" si="7"/>
        <v>46105</v>
      </c>
      <c r="L16" s="16">
        <f t="shared" si="8"/>
        <v>46113</v>
      </c>
      <c r="W16">
        <f t="shared" si="5"/>
        <v>40</v>
      </c>
    </row>
    <row r="17" spans="1:23">
      <c r="A17" s="6" t="s">
        <v>21</v>
      </c>
      <c r="B17" s="7">
        <v>46030</v>
      </c>
      <c r="C17" s="8">
        <v>46120</v>
      </c>
      <c r="D17" s="9">
        <f ca="1" t="shared" si="0"/>
        <v>46050</v>
      </c>
      <c r="E17" s="10">
        <f ca="1" t="shared" si="1"/>
        <v>70</v>
      </c>
      <c r="F17" s="11" t="s">
        <v>22</v>
      </c>
      <c r="G17" s="12" t="s">
        <v>53</v>
      </c>
      <c r="H17" s="12" t="s">
        <v>54</v>
      </c>
      <c r="I17" s="15">
        <v>10</v>
      </c>
      <c r="J17" s="16">
        <f t="shared" si="6"/>
        <v>46095</v>
      </c>
      <c r="K17" s="16">
        <f t="shared" si="7"/>
        <v>46105</v>
      </c>
      <c r="L17" s="16">
        <f t="shared" si="8"/>
        <v>46113</v>
      </c>
      <c r="W17">
        <f t="shared" si="5"/>
        <v>10</v>
      </c>
    </row>
    <row r="18" spans="1:23">
      <c r="A18" s="6" t="s">
        <v>21</v>
      </c>
      <c r="B18" s="7">
        <v>46030</v>
      </c>
      <c r="C18" s="8">
        <v>46120</v>
      </c>
      <c r="D18" s="9">
        <f ca="1" t="shared" si="0"/>
        <v>46050</v>
      </c>
      <c r="E18" s="10">
        <f ca="1" t="shared" si="1"/>
        <v>70</v>
      </c>
      <c r="F18" s="11" t="s">
        <v>22</v>
      </c>
      <c r="G18" s="12" t="s">
        <v>55</v>
      </c>
      <c r="H18" s="12" t="s">
        <v>56</v>
      </c>
      <c r="I18" s="15">
        <v>10</v>
      </c>
      <c r="J18" s="16">
        <f t="shared" si="6"/>
        <v>46095</v>
      </c>
      <c r="K18" s="16">
        <f t="shared" si="7"/>
        <v>46105</v>
      </c>
      <c r="L18" s="16">
        <f t="shared" si="8"/>
        <v>46113</v>
      </c>
      <c r="W18">
        <f t="shared" si="5"/>
        <v>10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Y18"/>
  <sheetViews>
    <sheetView workbookViewId="0">
      <selection activeCell="A1" sqref="A1"/>
    </sheetView>
  </sheetViews>
  <sheetFormatPr defaultColWidth="9" defaultRowHeight="14.4"/>
  <cols>
    <col min="1" max="1" width="6" customWidth="1"/>
    <col min="2" max="2" width="15.8518518518519" customWidth="1"/>
    <col min="3" max="3" width="9.42592592592593" customWidth="1"/>
    <col min="4" max="4" width="10.1388888888889" customWidth="1"/>
    <col min="5" max="5" width="5.71296296296296" customWidth="1"/>
    <col min="6" max="6" width="31.4259259259259" customWidth="1"/>
    <col min="7" max="7" width="9.28703703703704" customWidth="1"/>
    <col min="8" max="8" width="52.8518518518519" customWidth="1"/>
    <col min="9" max="9" width="6.57407407407407" customWidth="1"/>
    <col min="10" max="12" width="10.1388888888889" customWidth="1"/>
    <col min="13" max="13" width="5.85185185185185" customWidth="1"/>
    <col min="14" max="14" width="7.28703703703704" customWidth="1"/>
    <col min="15" max="15" width="8.13888888888889" customWidth="1"/>
    <col min="16" max="16" width="9.28703703703704" customWidth="1"/>
    <col min="17" max="17" width="5.13888888888889" customWidth="1"/>
    <col min="18" max="18" width="8.42592592592593" customWidth="1"/>
    <col min="19" max="19" width="8.13888888888889" customWidth="1"/>
    <col min="20" max="20" width="9.28703703703704" customWidth="1"/>
    <col min="21" max="21" width="5.13888888888889" customWidth="1"/>
    <col min="22" max="22" width="8.42592592592593" customWidth="1"/>
    <col min="23" max="23" width="7.85185185185185" customWidth="1"/>
    <col min="24" max="24" width="14.4259259259259" customWidth="1"/>
    <col min="25" max="25" width="12.712962962963" customWidth="1"/>
  </cols>
  <sheetData>
    <row r="1" ht="36" spans="1:25">
      <c r="A1" s="1" t="s">
        <v>0</v>
      </c>
      <c r="B1" s="2" t="s">
        <v>57</v>
      </c>
      <c r="C1" s="3" t="s">
        <v>2</v>
      </c>
      <c r="D1" s="4" t="s">
        <v>3</v>
      </c>
      <c r="E1" s="4" t="s">
        <v>4</v>
      </c>
      <c r="F1" s="5" t="s">
        <v>58</v>
      </c>
      <c r="G1" s="2" t="s">
        <v>59</v>
      </c>
      <c r="H1" s="2" t="s">
        <v>60</v>
      </c>
      <c r="I1" s="13" t="s">
        <v>61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14" t="s">
        <v>14</v>
      </c>
      <c r="P1" s="14" t="s">
        <v>15</v>
      </c>
      <c r="Q1" s="14" t="s">
        <v>16</v>
      </c>
      <c r="R1" s="14" t="s">
        <v>17</v>
      </c>
      <c r="S1" s="14" t="s">
        <v>14</v>
      </c>
      <c r="T1" s="14" t="s">
        <v>15</v>
      </c>
      <c r="U1" s="14" t="s">
        <v>16</v>
      </c>
      <c r="V1" s="14" t="s">
        <v>17</v>
      </c>
      <c r="W1" s="14" t="s">
        <v>18</v>
      </c>
      <c r="X1" s="14" t="s">
        <v>19</v>
      </c>
      <c r="Y1" s="14" t="s">
        <v>20</v>
      </c>
    </row>
    <row r="2" spans="1:23">
      <c r="A2" s="6" t="s">
        <v>21</v>
      </c>
      <c r="B2" s="7">
        <v>46030</v>
      </c>
      <c r="C2" s="8">
        <v>46120</v>
      </c>
      <c r="D2" s="9">
        <f ca="1">+TODAY()</f>
        <v>46050</v>
      </c>
      <c r="E2" s="10">
        <f ca="1">+C2-D2</f>
        <v>70</v>
      </c>
      <c r="F2" s="11" t="s">
        <v>22</v>
      </c>
      <c r="G2" s="12" t="s">
        <v>23</v>
      </c>
      <c r="H2" s="12" t="s">
        <v>24</v>
      </c>
      <c r="I2" s="15">
        <v>20</v>
      </c>
      <c r="J2" s="16">
        <f>+C2-25</f>
        <v>46095</v>
      </c>
      <c r="K2" s="16">
        <f>+C2-15</f>
        <v>46105</v>
      </c>
      <c r="L2" s="16">
        <f>+C2-7</f>
        <v>46113</v>
      </c>
      <c r="M2" s="17"/>
      <c r="N2" s="17"/>
      <c r="O2" s="17"/>
      <c r="S2" s="17"/>
      <c r="W2">
        <f>+I2-Q2-R2-U2-V2</f>
        <v>20</v>
      </c>
    </row>
    <row r="3" spans="1:23">
      <c r="A3" s="6" t="s">
        <v>21</v>
      </c>
      <c r="B3" s="7">
        <v>46030</v>
      </c>
      <c r="C3" s="8">
        <v>46120</v>
      </c>
      <c r="D3" s="9">
        <f ca="1" t="shared" ref="D3:D18" si="0">+TODAY()</f>
        <v>46050</v>
      </c>
      <c r="E3" s="10">
        <f ca="1" t="shared" ref="E3:E18" si="1">+C3-D3</f>
        <v>70</v>
      </c>
      <c r="F3" s="11" t="s">
        <v>22</v>
      </c>
      <c r="G3" s="12" t="s">
        <v>25</v>
      </c>
      <c r="H3" s="12" t="s">
        <v>26</v>
      </c>
      <c r="I3" s="15">
        <v>20</v>
      </c>
      <c r="J3" s="16">
        <f t="shared" ref="J3:J18" si="2">+C3-25</f>
        <v>46095</v>
      </c>
      <c r="K3" s="16">
        <f t="shared" ref="K3:K18" si="3">+C3-15</f>
        <v>46105</v>
      </c>
      <c r="L3" s="16">
        <f t="shared" ref="L3:L18" si="4">+C3-7</f>
        <v>46113</v>
      </c>
      <c r="M3" s="17"/>
      <c r="N3" s="17"/>
      <c r="O3" s="17"/>
      <c r="S3" s="17"/>
      <c r="W3">
        <f t="shared" ref="W3:W18" si="5">+I3-Q3-R3-U3-V3</f>
        <v>20</v>
      </c>
    </row>
    <row r="4" spans="1:23">
      <c r="A4" s="6" t="s">
        <v>21</v>
      </c>
      <c r="B4" s="7">
        <v>46030</v>
      </c>
      <c r="C4" s="8">
        <v>46120</v>
      </c>
      <c r="D4" s="9">
        <f ca="1" t="shared" si="0"/>
        <v>46050</v>
      </c>
      <c r="E4" s="10">
        <f ca="1" t="shared" si="1"/>
        <v>70</v>
      </c>
      <c r="F4" s="11" t="s">
        <v>22</v>
      </c>
      <c r="G4" s="12" t="s">
        <v>27</v>
      </c>
      <c r="H4" s="12" t="s">
        <v>28</v>
      </c>
      <c r="I4" s="15">
        <v>20</v>
      </c>
      <c r="J4" s="16">
        <f t="shared" si="2"/>
        <v>46095</v>
      </c>
      <c r="K4" s="16">
        <f t="shared" si="3"/>
        <v>46105</v>
      </c>
      <c r="L4" s="16">
        <f t="shared" si="4"/>
        <v>46113</v>
      </c>
      <c r="M4" s="17"/>
      <c r="N4" s="17"/>
      <c r="O4" s="17"/>
      <c r="S4" s="17"/>
      <c r="W4">
        <f t="shared" si="5"/>
        <v>20</v>
      </c>
    </row>
    <row r="5" spans="1:23">
      <c r="A5" s="6" t="s">
        <v>21</v>
      </c>
      <c r="B5" s="7">
        <v>46030</v>
      </c>
      <c r="C5" s="8">
        <v>46120</v>
      </c>
      <c r="D5" s="9">
        <f ca="1" t="shared" si="0"/>
        <v>46050</v>
      </c>
      <c r="E5" s="10">
        <f ca="1" t="shared" si="1"/>
        <v>70</v>
      </c>
      <c r="F5" s="11" t="s">
        <v>22</v>
      </c>
      <c r="G5" s="12" t="s">
        <v>29</v>
      </c>
      <c r="H5" s="12" t="s">
        <v>30</v>
      </c>
      <c r="I5" s="15">
        <v>20</v>
      </c>
      <c r="J5" s="16">
        <f t="shared" si="2"/>
        <v>46095</v>
      </c>
      <c r="K5" s="16">
        <f t="shared" si="3"/>
        <v>46105</v>
      </c>
      <c r="L5" s="16">
        <f t="shared" si="4"/>
        <v>46113</v>
      </c>
      <c r="M5" s="17"/>
      <c r="N5" s="17"/>
      <c r="O5" s="17"/>
      <c r="S5" s="17"/>
      <c r="W5">
        <f t="shared" si="5"/>
        <v>20</v>
      </c>
    </row>
    <row r="6" spans="1:23">
      <c r="A6" s="6" t="s">
        <v>21</v>
      </c>
      <c r="B6" s="7">
        <v>46030</v>
      </c>
      <c r="C6" s="8">
        <v>46120</v>
      </c>
      <c r="D6" s="9">
        <f ca="1" t="shared" si="0"/>
        <v>46050</v>
      </c>
      <c r="E6" s="10">
        <f ca="1" t="shared" si="1"/>
        <v>70</v>
      </c>
      <c r="F6" s="11" t="s">
        <v>22</v>
      </c>
      <c r="G6" s="12" t="s">
        <v>31</v>
      </c>
      <c r="H6" s="12" t="s">
        <v>32</v>
      </c>
      <c r="I6" s="15">
        <v>25</v>
      </c>
      <c r="J6" s="16">
        <f t="shared" si="2"/>
        <v>46095</v>
      </c>
      <c r="K6" s="16">
        <f t="shared" si="3"/>
        <v>46105</v>
      </c>
      <c r="L6" s="16">
        <f t="shared" si="4"/>
        <v>46113</v>
      </c>
      <c r="M6" s="17"/>
      <c r="N6" s="17"/>
      <c r="O6" s="17"/>
      <c r="S6" s="17"/>
      <c r="W6">
        <f t="shared" si="5"/>
        <v>25</v>
      </c>
    </row>
    <row r="7" spans="1:23">
      <c r="A7" s="6" t="s">
        <v>21</v>
      </c>
      <c r="B7" s="7">
        <v>46030</v>
      </c>
      <c r="C7" s="8">
        <v>46120</v>
      </c>
      <c r="D7" s="9">
        <f ca="1" t="shared" si="0"/>
        <v>46050</v>
      </c>
      <c r="E7" s="10">
        <f ca="1" t="shared" si="1"/>
        <v>70</v>
      </c>
      <c r="F7" s="11" t="s">
        <v>22</v>
      </c>
      <c r="G7" s="12" t="s">
        <v>33</v>
      </c>
      <c r="H7" s="12" t="s">
        <v>34</v>
      </c>
      <c r="I7" s="15">
        <v>20</v>
      </c>
      <c r="J7" s="16">
        <f t="shared" si="2"/>
        <v>46095</v>
      </c>
      <c r="K7" s="16">
        <f t="shared" si="3"/>
        <v>46105</v>
      </c>
      <c r="L7" s="16">
        <f t="shared" si="4"/>
        <v>46113</v>
      </c>
      <c r="M7" s="17"/>
      <c r="N7" s="17"/>
      <c r="O7" s="17"/>
      <c r="S7" s="17"/>
      <c r="W7">
        <f t="shared" si="5"/>
        <v>20</v>
      </c>
    </row>
    <row r="8" spans="1:23">
      <c r="A8" s="6" t="s">
        <v>21</v>
      </c>
      <c r="B8" s="7">
        <v>46030</v>
      </c>
      <c r="C8" s="8">
        <v>46120</v>
      </c>
      <c r="D8" s="9">
        <f ca="1" t="shared" si="0"/>
        <v>46050</v>
      </c>
      <c r="E8" s="10">
        <f ca="1" t="shared" si="1"/>
        <v>70</v>
      </c>
      <c r="F8" s="11" t="s">
        <v>22</v>
      </c>
      <c r="G8" s="12" t="s">
        <v>35</v>
      </c>
      <c r="H8" s="12" t="s">
        <v>36</v>
      </c>
      <c r="I8" s="15">
        <v>10</v>
      </c>
      <c r="J8" s="16">
        <f t="shared" si="2"/>
        <v>46095</v>
      </c>
      <c r="K8" s="16">
        <f t="shared" si="3"/>
        <v>46105</v>
      </c>
      <c r="L8" s="16">
        <f t="shared" si="4"/>
        <v>46113</v>
      </c>
      <c r="M8" s="17"/>
      <c r="N8" s="17"/>
      <c r="O8" s="17"/>
      <c r="S8" s="17"/>
      <c r="W8">
        <f t="shared" si="5"/>
        <v>10</v>
      </c>
    </row>
    <row r="9" spans="1:23">
      <c r="A9" s="6" t="s">
        <v>21</v>
      </c>
      <c r="B9" s="7">
        <v>46030</v>
      </c>
      <c r="C9" s="8">
        <v>46120</v>
      </c>
      <c r="D9" s="9">
        <f ca="1" t="shared" si="0"/>
        <v>46050</v>
      </c>
      <c r="E9" s="10">
        <f ca="1" t="shared" si="1"/>
        <v>70</v>
      </c>
      <c r="F9" s="11" t="s">
        <v>22</v>
      </c>
      <c r="G9" s="12" t="s">
        <v>37</v>
      </c>
      <c r="H9" s="12" t="s">
        <v>38</v>
      </c>
      <c r="I9" s="15">
        <v>15</v>
      </c>
      <c r="J9" s="16">
        <f t="shared" si="2"/>
        <v>46095</v>
      </c>
      <c r="K9" s="16">
        <f t="shared" si="3"/>
        <v>46105</v>
      </c>
      <c r="L9" s="16">
        <f t="shared" si="4"/>
        <v>46113</v>
      </c>
      <c r="M9" s="17"/>
      <c r="N9" s="17"/>
      <c r="O9" s="17"/>
      <c r="S9" s="17"/>
      <c r="W9">
        <f t="shared" si="5"/>
        <v>15</v>
      </c>
    </row>
    <row r="10" spans="1:23">
      <c r="A10" s="6" t="s">
        <v>21</v>
      </c>
      <c r="B10" s="7">
        <v>46030</v>
      </c>
      <c r="C10" s="8">
        <v>46120</v>
      </c>
      <c r="D10" s="9">
        <f ca="1" t="shared" si="0"/>
        <v>46050</v>
      </c>
      <c r="E10" s="10">
        <f ca="1" t="shared" si="1"/>
        <v>70</v>
      </c>
      <c r="F10" s="11" t="s">
        <v>22</v>
      </c>
      <c r="G10" s="12" t="s">
        <v>39</v>
      </c>
      <c r="H10" s="12" t="s">
        <v>40</v>
      </c>
      <c r="I10" s="15">
        <v>15</v>
      </c>
      <c r="J10" s="16">
        <f t="shared" si="2"/>
        <v>46095</v>
      </c>
      <c r="K10" s="16">
        <f t="shared" si="3"/>
        <v>46105</v>
      </c>
      <c r="L10" s="16">
        <f t="shared" si="4"/>
        <v>46113</v>
      </c>
      <c r="M10" s="17"/>
      <c r="N10" s="17"/>
      <c r="O10" s="17"/>
      <c r="S10" s="17"/>
      <c r="W10">
        <f t="shared" si="5"/>
        <v>15</v>
      </c>
    </row>
    <row r="11" spans="1:23">
      <c r="A11" s="6" t="s">
        <v>21</v>
      </c>
      <c r="B11" s="7">
        <v>46030</v>
      </c>
      <c r="C11" s="8">
        <v>46120</v>
      </c>
      <c r="D11" s="9">
        <f ca="1" t="shared" si="0"/>
        <v>46050</v>
      </c>
      <c r="E11" s="10">
        <f ca="1" t="shared" si="1"/>
        <v>70</v>
      </c>
      <c r="F11" s="11" t="s">
        <v>22</v>
      </c>
      <c r="G11" s="12" t="s">
        <v>41</v>
      </c>
      <c r="H11" s="12" t="s">
        <v>42</v>
      </c>
      <c r="I11" s="15">
        <v>25</v>
      </c>
      <c r="J11" s="16">
        <f t="shared" si="2"/>
        <v>46095</v>
      </c>
      <c r="K11" s="16">
        <f t="shared" si="3"/>
        <v>46105</v>
      </c>
      <c r="L11" s="16">
        <f t="shared" si="4"/>
        <v>46113</v>
      </c>
      <c r="M11" s="17"/>
      <c r="N11" s="17"/>
      <c r="O11" s="17"/>
      <c r="S11" s="17"/>
      <c r="W11">
        <f t="shared" si="5"/>
        <v>25</v>
      </c>
    </row>
    <row r="12" spans="1:23">
      <c r="A12" s="6" t="s">
        <v>21</v>
      </c>
      <c r="B12" s="7">
        <v>46030</v>
      </c>
      <c r="C12" s="8">
        <v>46120</v>
      </c>
      <c r="D12" s="9">
        <f ca="1" t="shared" si="0"/>
        <v>46050</v>
      </c>
      <c r="E12" s="10">
        <f ca="1" t="shared" si="1"/>
        <v>70</v>
      </c>
      <c r="F12" s="11" t="s">
        <v>22</v>
      </c>
      <c r="G12" s="12" t="s">
        <v>43</v>
      </c>
      <c r="H12" s="12" t="s">
        <v>44</v>
      </c>
      <c r="I12" s="15">
        <v>15</v>
      </c>
      <c r="J12" s="16">
        <f t="shared" si="2"/>
        <v>46095</v>
      </c>
      <c r="K12" s="16">
        <f t="shared" si="3"/>
        <v>46105</v>
      </c>
      <c r="L12" s="16">
        <f t="shared" si="4"/>
        <v>46113</v>
      </c>
      <c r="M12" s="17"/>
      <c r="N12" s="17"/>
      <c r="O12" s="17"/>
      <c r="S12" s="17"/>
      <c r="W12">
        <f t="shared" si="5"/>
        <v>15</v>
      </c>
    </row>
    <row r="13" spans="1:23">
      <c r="A13" s="6" t="s">
        <v>21</v>
      </c>
      <c r="B13" s="7">
        <v>46030</v>
      </c>
      <c r="C13" s="8">
        <v>46120</v>
      </c>
      <c r="D13" s="9">
        <f ca="1" t="shared" si="0"/>
        <v>46050</v>
      </c>
      <c r="E13" s="10">
        <f ca="1" t="shared" si="1"/>
        <v>70</v>
      </c>
      <c r="F13" s="11" t="s">
        <v>22</v>
      </c>
      <c r="G13" s="12" t="s">
        <v>45</v>
      </c>
      <c r="H13" s="12" t="s">
        <v>46</v>
      </c>
      <c r="I13" s="15">
        <v>20</v>
      </c>
      <c r="J13" s="16">
        <f t="shared" si="2"/>
        <v>46095</v>
      </c>
      <c r="K13" s="16">
        <f t="shared" si="3"/>
        <v>46105</v>
      </c>
      <c r="L13" s="16">
        <f t="shared" si="4"/>
        <v>46113</v>
      </c>
      <c r="M13" s="17"/>
      <c r="N13" s="17"/>
      <c r="O13" s="17"/>
      <c r="S13" s="17"/>
      <c r="W13">
        <f t="shared" si="5"/>
        <v>20</v>
      </c>
    </row>
    <row r="14" spans="1:23">
      <c r="A14" s="6" t="s">
        <v>21</v>
      </c>
      <c r="B14" s="7">
        <v>46030</v>
      </c>
      <c r="C14" s="8">
        <v>46120</v>
      </c>
      <c r="D14" s="9">
        <f ca="1" t="shared" si="0"/>
        <v>46050</v>
      </c>
      <c r="E14" s="10">
        <f ca="1" t="shared" si="1"/>
        <v>70</v>
      </c>
      <c r="F14" s="11" t="s">
        <v>22</v>
      </c>
      <c r="G14" s="12" t="s">
        <v>47</v>
      </c>
      <c r="H14" s="12" t="s">
        <v>48</v>
      </c>
      <c r="I14" s="15">
        <v>15</v>
      </c>
      <c r="J14" s="16">
        <f t="shared" si="2"/>
        <v>46095</v>
      </c>
      <c r="K14" s="16">
        <f t="shared" si="3"/>
        <v>46105</v>
      </c>
      <c r="L14" s="16">
        <f t="shared" si="4"/>
        <v>46113</v>
      </c>
      <c r="W14">
        <f t="shared" si="5"/>
        <v>15</v>
      </c>
    </row>
    <row r="15" spans="1:23">
      <c r="A15" s="6" t="s">
        <v>21</v>
      </c>
      <c r="B15" s="7">
        <v>46030</v>
      </c>
      <c r="C15" s="8">
        <v>46120</v>
      </c>
      <c r="D15" s="9">
        <f ca="1" t="shared" si="0"/>
        <v>46050</v>
      </c>
      <c r="E15" s="10">
        <f ca="1" t="shared" si="1"/>
        <v>70</v>
      </c>
      <c r="F15" s="11" t="s">
        <v>22</v>
      </c>
      <c r="G15" s="12" t="s">
        <v>49</v>
      </c>
      <c r="H15" s="12" t="s">
        <v>50</v>
      </c>
      <c r="I15" s="15">
        <v>35</v>
      </c>
      <c r="J15" s="16">
        <f t="shared" si="2"/>
        <v>46095</v>
      </c>
      <c r="K15" s="16">
        <f t="shared" si="3"/>
        <v>46105</v>
      </c>
      <c r="L15" s="16">
        <f t="shared" si="4"/>
        <v>46113</v>
      </c>
      <c r="W15">
        <f t="shared" si="5"/>
        <v>35</v>
      </c>
    </row>
    <row r="16" spans="1:23">
      <c r="A16" s="6" t="s">
        <v>21</v>
      </c>
      <c r="B16" s="7">
        <v>46030</v>
      </c>
      <c r="C16" s="8">
        <v>46120</v>
      </c>
      <c r="D16" s="9">
        <f ca="1" t="shared" si="0"/>
        <v>46050</v>
      </c>
      <c r="E16" s="10">
        <f ca="1" t="shared" si="1"/>
        <v>70</v>
      </c>
      <c r="F16" s="11" t="s">
        <v>22</v>
      </c>
      <c r="G16" s="12" t="s">
        <v>51</v>
      </c>
      <c r="H16" s="12" t="s">
        <v>52</v>
      </c>
      <c r="I16" s="15">
        <v>40</v>
      </c>
      <c r="J16" s="16">
        <f t="shared" si="2"/>
        <v>46095</v>
      </c>
      <c r="K16" s="16">
        <f t="shared" si="3"/>
        <v>46105</v>
      </c>
      <c r="L16" s="16">
        <f t="shared" si="4"/>
        <v>46113</v>
      </c>
      <c r="W16">
        <f t="shared" si="5"/>
        <v>40</v>
      </c>
    </row>
    <row r="17" spans="1:23">
      <c r="A17" s="6" t="s">
        <v>21</v>
      </c>
      <c r="B17" s="7">
        <v>46030</v>
      </c>
      <c r="C17" s="8">
        <v>46120</v>
      </c>
      <c r="D17" s="9">
        <f ca="1" t="shared" si="0"/>
        <v>46050</v>
      </c>
      <c r="E17" s="10">
        <f ca="1" t="shared" si="1"/>
        <v>70</v>
      </c>
      <c r="F17" s="11" t="s">
        <v>22</v>
      </c>
      <c r="G17" s="12" t="s">
        <v>53</v>
      </c>
      <c r="H17" s="12" t="s">
        <v>54</v>
      </c>
      <c r="I17" s="15">
        <v>10</v>
      </c>
      <c r="J17" s="16">
        <f t="shared" si="2"/>
        <v>46095</v>
      </c>
      <c r="K17" s="16">
        <f t="shared" si="3"/>
        <v>46105</v>
      </c>
      <c r="L17" s="16">
        <f t="shared" si="4"/>
        <v>46113</v>
      </c>
      <c r="W17">
        <f t="shared" si="5"/>
        <v>10</v>
      </c>
    </row>
    <row r="18" spans="1:23">
      <c r="A18" s="6" t="s">
        <v>21</v>
      </c>
      <c r="B18" s="7">
        <v>46030</v>
      </c>
      <c r="C18" s="8">
        <v>46120</v>
      </c>
      <c r="D18" s="9">
        <f ca="1" t="shared" si="0"/>
        <v>46050</v>
      </c>
      <c r="E18" s="10">
        <f ca="1" t="shared" si="1"/>
        <v>70</v>
      </c>
      <c r="F18" s="11" t="s">
        <v>22</v>
      </c>
      <c r="G18" s="12" t="s">
        <v>55</v>
      </c>
      <c r="H18" s="12" t="s">
        <v>56</v>
      </c>
      <c r="I18" s="15">
        <v>10</v>
      </c>
      <c r="J18" s="16">
        <f t="shared" si="2"/>
        <v>46095</v>
      </c>
      <c r="K18" s="16">
        <f t="shared" si="3"/>
        <v>46105</v>
      </c>
      <c r="L18" s="16">
        <f t="shared" si="4"/>
        <v>46113</v>
      </c>
      <c r="W18">
        <f t="shared" si="5"/>
        <v>10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Total Order</vt:lpstr>
      <vt:lpstr>94344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| Giga Meubel</dc:creator>
  <cp:lastModifiedBy>abrar</cp:lastModifiedBy>
  <dcterms:created xsi:type="dcterms:W3CDTF">2026-01-17T12:54:00Z</dcterms:created>
  <dcterms:modified xsi:type="dcterms:W3CDTF">2026-01-28T05:13:29Z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2C532868548F4A7EB0E45D9474B2FB0A_12</vt:lpwstr>
  </property>
  <property fmtid="{D5CDD505-2E9C-101B-9397-08002B2CF9AE}" pid="3" name="KSOProductBuildVer">
    <vt:lpwstr>1033-12.2.0.23196</vt:lpwstr>
  </property>
</Properties>
</file>